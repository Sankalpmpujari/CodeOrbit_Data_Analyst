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a\Desktop\CodeOrbit_Data_Analyst\"/>
    </mc:Choice>
  </mc:AlternateContent>
  <xr:revisionPtr revIDLastSave="0" documentId="13_ncr:9_{0D1A5942-FAFE-433B-93D2-3D94C17BA34D}" xr6:coauthVersionLast="47" xr6:coauthVersionMax="47" xr10:uidLastSave="{00000000-0000-0000-0000-000000000000}"/>
  <bookViews>
    <workbookView xWindow="-108" yWindow="-108" windowWidth="23256" windowHeight="12456" activeTab="1" xr2:uid="{74EA0DFE-4C80-4A47-AB1A-5A02B75BD911}"/>
  </bookViews>
  <sheets>
    <sheet name="cleaned_sales_data" sheetId="1" r:id="rId1"/>
    <sheet name="Dashboard" sheetId="2" r:id="rId2"/>
  </sheets>
  <calcPr calcId="0"/>
</workbook>
</file>

<file path=xl/calcChain.xml><?xml version="1.0" encoding="utf-8"?>
<calcChain xmlns="http://schemas.openxmlformats.org/spreadsheetml/2006/main">
  <c r="J6" i="2" l="1"/>
  <c r="J5" i="2"/>
  <c r="J4" i="2"/>
  <c r="J3" i="2"/>
  <c r="G5" i="2"/>
  <c r="G4" i="2"/>
  <c r="G3" i="2"/>
  <c r="D3" i="2"/>
  <c r="B3" i="2"/>
</calcChain>
</file>

<file path=xl/sharedStrings.xml><?xml version="1.0" encoding="utf-8"?>
<sst xmlns="http://schemas.openxmlformats.org/spreadsheetml/2006/main" count="173" uniqueCount="65">
  <si>
    <t>Order_ID</t>
  </si>
  <si>
    <t>Order_Date</t>
  </si>
  <si>
    <t>Customer</t>
  </si>
  <si>
    <t>Product</t>
  </si>
  <si>
    <t>Category</t>
  </si>
  <si>
    <t>Quantity</t>
  </si>
  <si>
    <t>Unit_Price</t>
  </si>
  <si>
    <t>Region</t>
  </si>
  <si>
    <t>Sales</t>
  </si>
  <si>
    <t>ORD001</t>
  </si>
  <si>
    <t>Aarav</t>
  </si>
  <si>
    <t>Laptop</t>
  </si>
  <si>
    <t>Electronics</t>
  </si>
  <si>
    <t>West</t>
  </si>
  <si>
    <t>ORD002</t>
  </si>
  <si>
    <t>Priya</t>
  </si>
  <si>
    <t>Mouse</t>
  </si>
  <si>
    <t>Accessories</t>
  </si>
  <si>
    <t>North</t>
  </si>
  <si>
    <t>ORD003</t>
  </si>
  <si>
    <t>Rahul</t>
  </si>
  <si>
    <t>Keyboard</t>
  </si>
  <si>
    <t>South</t>
  </si>
  <si>
    <t>ORD004</t>
  </si>
  <si>
    <t>Sneha</t>
  </si>
  <si>
    <t>Monitor</t>
  </si>
  <si>
    <t>East</t>
  </si>
  <si>
    <t>ORD005</t>
  </si>
  <si>
    <t>Vikram</t>
  </si>
  <si>
    <t>Office Chair</t>
  </si>
  <si>
    <t>Furniture</t>
  </si>
  <si>
    <t>ORD006</t>
  </si>
  <si>
    <t>Ananya</t>
  </si>
  <si>
    <t>ORD007</t>
  </si>
  <si>
    <t>Rohan</t>
  </si>
  <si>
    <t>Desk</t>
  </si>
  <si>
    <t>ORD008</t>
  </si>
  <si>
    <t>Neha</t>
  </si>
  <si>
    <t>Headphones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</si>
  <si>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</si>
  <si>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</si>
  <si>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</si>
  <si>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</si>
  <si>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</si>
  <si>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</si>
  <si>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</si>
  <si>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</si>
  <si>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USB Cable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</si>
  <si>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</si>
  <si>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</si>
  <si>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</si>
  <si>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</si>
  <si>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</si>
  <si>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</si>
  <si>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</si>
  <si>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</si>
  <si>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</si>
  <si>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</si>
  <si>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</si>
  <si>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</si>
  <si>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</si>
  <si>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</si>
  <si>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TOTAL SALES</t>
  </si>
  <si>
    <t>TOTAL ORDERS</t>
  </si>
  <si>
    <t>SALES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</si>
</sst>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4433401137357829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1729979621522"/>
          <c:y val="0.19279387610392215"/>
          <c:w val="0.85282806092591945"/>
          <c:h val="0.7238486857528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Dashboard!$G$2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Dashboard!$F$3:$F$5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Dashboard!$G$3:$G$5</c:f>
              <c:numCache>
                <c:formatCode>General</c:formatCode>
                <c:ptCount val="3"/>
                <c:pt idx="0">
                  <c:v>601500</c:v>
                </c:pt>
                <c:pt idx="1">
                  <c:v>99000</c:v>
                </c:pt>
                <c:pt idx="2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9-48B4-9567-38DBCADD1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894831"/>
        <c:axId val="890285903"/>
      </c:barChart>
      <c:catAx>
        <c:axId val="48289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285903"/>
        <c:crosses val="autoZero"/>
        <c:auto val="1"/>
        <c:lblAlgn val="ctr"/>
        <c:lblOffset val="100"/>
        <c:noMultiLvlLbl val="0"/>
      </c:catAx>
      <c:valAx>
        <c:axId val="89028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89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405623359580052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Dashboard!$J$2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Dashboard!$I$3:$I$6</c:f>
              <c:strCache>
                <c:ptCount val="4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Dashboard!$J$3:$J$6</c:f>
              <c:numCache>
                <c:formatCode>General</c:formatCode>
                <c:ptCount val="4"/>
                <c:pt idx="0">
                  <c:v>238500</c:v>
                </c:pt>
                <c:pt idx="1">
                  <c:v>202400</c:v>
                </c:pt>
                <c:pt idx="2">
                  <c:v>149400</c:v>
                </c:pt>
                <c:pt idx="3">
                  <c:v>144200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5-4F54-8CE2-66D6AF733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52650</xdr:colOff>
      <xdr:row>5</xdr:row>
      <xdr:rowOff>105633</xdr:rowOff>
    </xdr:from>
    <xdr:to>
      <xdr:col>7</xdr:col>
      <xdr:colOff>367862</xdr:colOff>
      <xdr:row>20</xdr:row>
      <xdr:rowOff>119281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2510F-AB38-E0B1-C368-F6D704EF3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335017</xdr:colOff>
      <xdr:row>6</xdr:row>
      <xdr:rowOff>83426</xdr:rowOff>
    </xdr:from>
    <xdr:to>
      <xdr:col>18</xdr:col>
      <xdr:colOff>19707</xdr:colOff>
      <xdr:row>21</xdr:row>
      <xdr:rowOff>67660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CC0AB5-BF2F-C37F-C88F-17EF0A92E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ECB3-89CC-49F9-8F7F-08055C6887AE}">
  <dimension ref="A1:I3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46027</v>
      </c>
      <c r="C2" t="s">
        <v>10</v>
      </c>
      <c r="D2" t="s">
        <v>11</v>
      </c>
      <c r="E2" t="s">
        <v>12</v>
      </c>
      <c r="F2">
        <v>2</v>
      </c>
      <c r="G2">
        <v>55000</v>
      </c>
      <c r="H2" t="s">
        <v>13</v>
      </c>
      <c r="I2">
        <v>110000</v>
      </c>
    </row>
    <row r="3" spans="1:9" x14ac:dyDescent="0.3">
      <c r="A3" t="s">
        <v>14</v>
      </c>
      <c r="B3" s="1">
        <v>46029</v>
      </c>
      <c r="C3" t="s">
        <v>15</v>
      </c>
      <c r="D3" t="s">
        <v>16</v>
      </c>
      <c r="E3" t="s">
        <v>17</v>
      </c>
      <c r="F3">
        <v>3</v>
      </c>
      <c r="G3">
        <v>800</v>
      </c>
      <c r="H3" t="s">
        <v>18</v>
      </c>
      <c r="I3">
        <v>2400</v>
      </c>
    </row>
    <row r="4" spans="1:9" x14ac:dyDescent="0.3">
      <c r="A4" t="s">
        <v>19</v>
      </c>
      <c r="B4" s="1">
        <v>46032</v>
      </c>
      <c r="C4" t="s">
        <v>20</v>
      </c>
      <c r="D4" t="s">
        <v>21</v>
      </c>
      <c r="E4" t="s">
        <v>17</v>
      </c>
      <c r="F4">
        <v>2</v>
      </c>
      <c r="G4">
        <v>1500</v>
      </c>
      <c r="H4" t="s">
        <v>22</v>
      </c>
      <c r="I4">
        <v>3000</v>
      </c>
    </row>
    <row r="5" spans="1:9" x14ac:dyDescent="0.3">
      <c r="A5" t="s">
        <v>23</v>
      </c>
      <c r="B5" s="1">
        <v>46034</v>
      </c>
      <c r="C5" t="s">
        <v>24</v>
      </c>
      <c r="D5" t="s">
        <v>25</v>
      </c>
      <c r="E5" t="s">
        <v>12</v>
      </c>
      <c r="F5">
        <v>1</v>
      </c>
      <c r="G5">
        <v>14000</v>
      </c>
      <c r="H5" t="s">
        <v>26</v>
      </c>
      <c r="I5">
        <v>14000</v>
      </c>
    </row>
    <row r="6" spans="1:9" x14ac:dyDescent="0.3">
      <c r="A6" t="s">
        <v>27</v>
      </c>
      <c r="B6" s="1">
        <v>46037</v>
      </c>
      <c r="C6" t="s">
        <v>28</v>
      </c>
      <c r="D6" t="s">
        <v>29</v>
      </c>
      <c r="E6" t="s">
        <v>30</v>
      </c>
      <c r="F6">
        <v>2</v>
      </c>
      <c r="G6">
        <v>8500</v>
      </c>
      <c r="H6" t="s">
        <v>13</v>
      </c>
      <c r="I6">
        <v>17000</v>
      </c>
    </row>
    <row r="7" spans="1:9" x14ac:dyDescent="0.3">
      <c r="A7" t="s">
        <v>31</v>
      </c>
      <c r="B7" s="1">
        <v>46040</v>
      </c>
      <c r="C7" t="s">
        <v>32</v>
      </c>
      <c r="D7" t="s">
        <v>11</v>
      </c>
      <c r="E7" t="s">
        <v>12</v>
      </c>
      <c r="F7">
        <v>1</v>
      </c>
      <c r="G7">
        <v>55000</v>
      </c>
      <c r="H7" t="s">
        <v>18</v>
      </c>
      <c r="I7">
        <v>55000</v>
      </c>
    </row>
    <row r="8" spans="1:9" x14ac:dyDescent="0.3">
      <c r="A8" t="s">
        <v>33</v>
      </c>
      <c r="B8" s="1">
        <v>46042</v>
      </c>
      <c r="C8" t="s">
        <v>34</v>
      </c>
      <c r="D8" t="s">
        <v>35</v>
      </c>
      <c r="E8" t="s">
        <v>30</v>
      </c>
      <c r="F8">
        <v>1</v>
      </c>
      <c r="G8">
        <v>12000</v>
      </c>
      <c r="H8" t="s">
        <v>22</v>
      </c>
      <c r="I8">
        <v>12000</v>
      </c>
    </row>
    <row r="9" spans="1:9" x14ac:dyDescent="0.3">
      <c r="A9" t="s">
        <v>36</v>
      </c>
      <c r="B9" s="1">
        <v>46044</v>
      </c>
      <c r="C9" t="s">
        <v>37</v>
      </c>
      <c r="D9" t="s">
        <v>38</v>
      </c>
      <c r="E9" t="s">
        <v>12</v>
      </c>
      <c r="F9">
        <v>4</v>
      </c>
      <c r="G9">
        <v>2500</v>
      </c>
      <c r="H9" t="s">
        <v>26</v>
      </c>
      <c r="I9">
        <v>10000</v>
      </c>
    </row>
    <row r="10" spans="1:9" x14ac:dyDescent="0.3">
      <c r="A10" t="s">
        <v>39</v>
      </c>
      <c r="B10" s="1">
        <v>46047</v>
      </c>
      <c r="C10" t="s">
        <v>10</v>
      </c>
      <c r="D10" t="s">
        <v>16</v>
      </c>
      <c r="E10" t="s">
        <v>17</v>
      </c>
      <c r="F10">
        <v>5</v>
      </c>
      <c r="G10">
        <v>800</v>
      </c>
      <c r="H10" t="s">
        <v>13</v>
      </c>
      <c r="I10">
        <v>4000</v>
      </c>
    </row>
    <row r="11" spans="1:9" x14ac:dyDescent="0.3">
      <c r="A11" t="s">
        <v>40</v>
      </c>
      <c r="B11" s="1">
        <v>46050</v>
      </c>
      <c r="C11" t="s">
        <v>15</v>
      </c>
      <c r="D11" t="s">
        <v>11</v>
      </c>
      <c r="E11" t="s">
        <v>12</v>
      </c>
      <c r="F11">
        <v>1</v>
      </c>
      <c r="G11">
        <v>55000</v>
      </c>
      <c r="H11" t="s">
        <v>18</v>
      </c>
      <c r="I11">
        <v>55000</v>
      </c>
    </row>
    <row r="12" spans="1:9" x14ac:dyDescent="0.3">
      <c r="A12" t="s">
        <v>41</v>
      </c>
      <c r="B12" s="1">
        <v>46055</v>
      </c>
      <c r="C12" t="s">
        <v>20</v>
      </c>
      <c r="D12" t="s">
        <v>25</v>
      </c>
      <c r="E12" t="s">
        <v>12</v>
      </c>
      <c r="F12">
        <v>2</v>
      </c>
      <c r="G12">
        <v>14000</v>
      </c>
      <c r="H12" t="s">
        <v>22</v>
      </c>
      <c r="I12">
        <v>28000</v>
      </c>
    </row>
    <row r="13" spans="1:9" x14ac:dyDescent="0.3">
      <c r="A13" t="s">
        <v>42</v>
      </c>
      <c r="B13" s="1">
        <v>46058</v>
      </c>
      <c r="C13" t="s">
        <v>24</v>
      </c>
      <c r="D13" t="s">
        <v>21</v>
      </c>
      <c r="E13" t="s">
        <v>17</v>
      </c>
      <c r="F13">
        <v>3</v>
      </c>
      <c r="G13">
        <v>1500</v>
      </c>
      <c r="H13" t="s">
        <v>26</v>
      </c>
      <c r="I13">
        <v>4500</v>
      </c>
    </row>
    <row r="14" spans="1:9" x14ac:dyDescent="0.3">
      <c r="A14" t="s">
        <v>43</v>
      </c>
      <c r="B14" s="1">
        <v>46061</v>
      </c>
      <c r="C14" t="s">
        <v>28</v>
      </c>
      <c r="D14" t="s">
        <v>35</v>
      </c>
      <c r="E14" t="s">
        <v>30</v>
      </c>
      <c r="F14">
        <v>2</v>
      </c>
      <c r="G14">
        <v>12000</v>
      </c>
      <c r="H14" t="s">
        <v>13</v>
      </c>
      <c r="I14">
        <v>24000</v>
      </c>
    </row>
    <row r="15" spans="1:9" x14ac:dyDescent="0.3">
      <c r="A15" t="s">
        <v>44</v>
      </c>
      <c r="B15" s="1">
        <v>46064</v>
      </c>
      <c r="C15" t="s">
        <v>32</v>
      </c>
      <c r="D15" t="s">
        <v>29</v>
      </c>
      <c r="E15" t="s">
        <v>30</v>
      </c>
      <c r="F15">
        <v>1</v>
      </c>
      <c r="G15">
        <v>8500</v>
      </c>
      <c r="H15" t="s">
        <v>18</v>
      </c>
      <c r="I15">
        <v>8500</v>
      </c>
    </row>
    <row r="16" spans="1:9" x14ac:dyDescent="0.3">
      <c r="A16" t="s">
        <v>45</v>
      </c>
      <c r="B16" s="1">
        <v>46067</v>
      </c>
      <c r="C16" t="s">
        <v>34</v>
      </c>
      <c r="D16" t="s">
        <v>11</v>
      </c>
      <c r="E16" t="s">
        <v>12</v>
      </c>
      <c r="F16">
        <v>2</v>
      </c>
      <c r="G16">
        <v>55000</v>
      </c>
      <c r="H16" t="s">
        <v>22</v>
      </c>
      <c r="I16">
        <v>110000</v>
      </c>
    </row>
    <row r="17" spans="1:9" x14ac:dyDescent="0.3">
      <c r="A17" t="s">
        <v>46</v>
      </c>
      <c r="B17" s="1">
        <v>46070</v>
      </c>
      <c r="C17" t="s">
        <v>37</v>
      </c>
      <c r="D17" t="s">
        <v>47</v>
      </c>
      <c r="E17" t="s">
        <v>17</v>
      </c>
      <c r="F17">
        <v>5</v>
      </c>
      <c r="G17">
        <v>500</v>
      </c>
      <c r="H17" t="s">
        <v>26</v>
      </c>
      <c r="I17">
        <v>2500</v>
      </c>
    </row>
    <row r="18" spans="1:9" x14ac:dyDescent="0.3">
      <c r="A18" t="s">
        <v>48</v>
      </c>
      <c r="B18" s="1">
        <v>46073</v>
      </c>
      <c r="C18" t="s">
        <v>10</v>
      </c>
      <c r="D18" t="s">
        <v>25</v>
      </c>
      <c r="E18" t="s">
        <v>12</v>
      </c>
      <c r="F18">
        <v>1</v>
      </c>
      <c r="G18">
        <v>14000</v>
      </c>
      <c r="H18" t="s">
        <v>13</v>
      </c>
      <c r="I18">
        <v>14000</v>
      </c>
    </row>
    <row r="19" spans="1:9" x14ac:dyDescent="0.3">
      <c r="A19" t="s">
        <v>49</v>
      </c>
      <c r="B19" s="1">
        <v>46076</v>
      </c>
      <c r="C19" t="s">
        <v>15</v>
      </c>
      <c r="D19" t="s">
        <v>38</v>
      </c>
      <c r="E19" t="s">
        <v>12</v>
      </c>
      <c r="F19">
        <v>3</v>
      </c>
      <c r="G19">
        <v>2500</v>
      </c>
      <c r="H19" t="s">
        <v>18</v>
      </c>
      <c r="I19">
        <v>7500</v>
      </c>
    </row>
    <row r="20" spans="1:9" x14ac:dyDescent="0.3">
      <c r="A20" t="s">
        <v>50</v>
      </c>
      <c r="B20" s="1">
        <v>46079</v>
      </c>
      <c r="C20" t="s">
        <v>20</v>
      </c>
      <c r="D20" t="s">
        <v>11</v>
      </c>
      <c r="E20" t="s">
        <v>12</v>
      </c>
      <c r="F20">
        <v>1</v>
      </c>
      <c r="G20">
        <v>55000</v>
      </c>
      <c r="H20" t="s">
        <v>22</v>
      </c>
      <c r="I20">
        <v>55000</v>
      </c>
    </row>
    <row r="21" spans="1:9" x14ac:dyDescent="0.3">
      <c r="A21" t="s">
        <v>51</v>
      </c>
      <c r="B21" s="1">
        <v>46082</v>
      </c>
      <c r="C21" t="s">
        <v>24</v>
      </c>
      <c r="D21" t="s">
        <v>16</v>
      </c>
      <c r="E21" t="s">
        <v>17</v>
      </c>
      <c r="F21">
        <v>4</v>
      </c>
      <c r="G21">
        <v>800</v>
      </c>
      <c r="H21" t="s">
        <v>26</v>
      </c>
      <c r="I21">
        <v>3200</v>
      </c>
    </row>
    <row r="22" spans="1:9" x14ac:dyDescent="0.3">
      <c r="A22" t="s">
        <v>52</v>
      </c>
      <c r="B22" s="1">
        <v>46085</v>
      </c>
      <c r="C22" t="s">
        <v>28</v>
      </c>
      <c r="D22" t="s">
        <v>21</v>
      </c>
      <c r="E22" t="s">
        <v>17</v>
      </c>
      <c r="F22">
        <v>2</v>
      </c>
      <c r="G22">
        <v>1500</v>
      </c>
      <c r="H22" t="s">
        <v>13</v>
      </c>
      <c r="I22">
        <v>3000</v>
      </c>
    </row>
    <row r="23" spans="1:9" x14ac:dyDescent="0.3">
      <c r="A23" t="s">
        <v>53</v>
      </c>
      <c r="B23" s="1">
        <v>46088</v>
      </c>
      <c r="C23" t="s">
        <v>32</v>
      </c>
      <c r="D23" t="s">
        <v>35</v>
      </c>
      <c r="E23" t="s">
        <v>30</v>
      </c>
      <c r="F23">
        <v>1</v>
      </c>
      <c r="G23">
        <v>12000</v>
      </c>
      <c r="H23" t="s">
        <v>18</v>
      </c>
      <c r="I23">
        <v>12000</v>
      </c>
    </row>
    <row r="24" spans="1:9" x14ac:dyDescent="0.3">
      <c r="A24" t="s">
        <v>54</v>
      </c>
      <c r="B24" s="1">
        <v>46091</v>
      </c>
      <c r="C24" t="s">
        <v>34</v>
      </c>
      <c r="D24" t="s">
        <v>29</v>
      </c>
      <c r="E24" t="s">
        <v>30</v>
      </c>
      <c r="F24">
        <v>3</v>
      </c>
      <c r="G24">
        <v>8500</v>
      </c>
      <c r="H24" t="s">
        <v>22</v>
      </c>
      <c r="I24">
        <v>25500</v>
      </c>
    </row>
    <row r="25" spans="1:9" x14ac:dyDescent="0.3">
      <c r="A25" t="s">
        <v>55</v>
      </c>
      <c r="B25" s="1">
        <v>46094</v>
      </c>
      <c r="C25" t="s">
        <v>37</v>
      </c>
      <c r="D25" t="s">
        <v>11</v>
      </c>
      <c r="E25" t="s">
        <v>12</v>
      </c>
      <c r="F25">
        <v>1</v>
      </c>
      <c r="G25">
        <v>55000</v>
      </c>
      <c r="H25" t="s">
        <v>26</v>
      </c>
      <c r="I25">
        <v>55000</v>
      </c>
    </row>
    <row r="26" spans="1:9" x14ac:dyDescent="0.3">
      <c r="A26" t="s">
        <v>56</v>
      </c>
      <c r="B26" s="1">
        <v>46097</v>
      </c>
      <c r="C26" t="s">
        <v>10</v>
      </c>
      <c r="D26" t="s">
        <v>25</v>
      </c>
      <c r="E26" t="s">
        <v>12</v>
      </c>
      <c r="F26">
        <v>2</v>
      </c>
      <c r="G26">
        <v>14000</v>
      </c>
      <c r="H26" t="s">
        <v>13</v>
      </c>
      <c r="I26">
        <v>28000</v>
      </c>
    </row>
    <row r="27" spans="1:9" x14ac:dyDescent="0.3">
      <c r="A27" t="s">
        <v>57</v>
      </c>
      <c r="B27" s="1">
        <v>46100</v>
      </c>
      <c r="C27" t="s">
        <v>15</v>
      </c>
      <c r="D27" t="s">
        <v>47</v>
      </c>
      <c r="E27" t="s">
        <v>17</v>
      </c>
      <c r="F27">
        <v>6</v>
      </c>
      <c r="G27">
        <v>500</v>
      </c>
      <c r="H27" t="s">
        <v>18</v>
      </c>
      <c r="I27">
        <v>3000</v>
      </c>
    </row>
    <row r="28" spans="1:9" x14ac:dyDescent="0.3">
      <c r="A28" t="s">
        <v>58</v>
      </c>
      <c r="B28" s="1">
        <v>46103</v>
      </c>
      <c r="C28" t="s">
        <v>20</v>
      </c>
      <c r="D28" t="s">
        <v>38</v>
      </c>
      <c r="E28" t="s">
        <v>12</v>
      </c>
      <c r="F28">
        <v>2</v>
      </c>
      <c r="G28">
        <v>2500</v>
      </c>
      <c r="H28" t="s">
        <v>22</v>
      </c>
      <c r="I28">
        <v>5000</v>
      </c>
    </row>
    <row r="29" spans="1:9" x14ac:dyDescent="0.3">
      <c r="A29" t="s">
        <v>59</v>
      </c>
      <c r="B29" s="1">
        <v>46106</v>
      </c>
      <c r="C29" t="s">
        <v>24</v>
      </c>
      <c r="D29" t="s">
        <v>11</v>
      </c>
      <c r="E29" t="s">
        <v>12</v>
      </c>
      <c r="F29">
        <v>1</v>
      </c>
      <c r="G29">
        <v>55000</v>
      </c>
      <c r="H29" t="s">
        <v>26</v>
      </c>
      <c r="I29">
        <v>55000</v>
      </c>
    </row>
    <row r="30" spans="1:9" x14ac:dyDescent="0.3">
      <c r="A30" t="s">
        <v>60</v>
      </c>
      <c r="B30" s="1">
        <v>46109</v>
      </c>
      <c r="C30" t="s">
        <v>28</v>
      </c>
      <c r="D30" t="s">
        <v>16</v>
      </c>
      <c r="E30" t="s">
        <v>17</v>
      </c>
      <c r="F30">
        <v>3</v>
      </c>
      <c r="G30">
        <v>800</v>
      </c>
      <c r="H30" t="s">
        <v>13</v>
      </c>
      <c r="I30">
        <v>2400</v>
      </c>
    </row>
    <row r="31" spans="1:9" x14ac:dyDescent="0.3">
      <c r="A31" t="s">
        <v>61</v>
      </c>
      <c r="B31" s="1">
        <v>46111</v>
      </c>
      <c r="C31" t="s">
        <v>32</v>
      </c>
      <c r="D31" t="s">
        <v>21</v>
      </c>
      <c r="E31" t="s">
        <v>17</v>
      </c>
      <c r="F31">
        <v>4</v>
      </c>
      <c r="G31">
        <v>1500</v>
      </c>
      <c r="H31" t="s">
        <v>18</v>
      </c>
      <c r="I31">
        <v>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1B42-B378-4422-9A05-50520814EBE3}">
  <dimension ref="A1:J6"/>
  <sheetViews>
    <sheetView tabSelected="1" zoomScale="72" workbookViewId="0">
      <selection activeCell="A2" sqref="A2"/>
    </sheetView>
  </sheetViews>
  <sheetFormatPr defaultRowHeight="14.4" x14ac:dyDescent="0.3"/>
  <sheetData>
    <row r="1" spans="1:10" x14ac:dyDescent="0.3">
      <c r="A1" t="s">
        <v>64</v>
      </c>
    </row>
    <row r="2" spans="1:10" x14ac:dyDescent="0.3">
      <c r="B2" t="s">
        <v>62</v>
      </c>
      <c r="D2" t="s">
        <v>63</v>
      </c>
      <c r="F2" t="s">
        <v>4</v>
      </c>
      <c r="G2" t="s">
        <v>8</v>
      </c>
      <c r="I2" t="s">
        <v>7</v>
      </c>
      <c r="J2" t="s">
        <v>8</v>
      </c>
    </row>
    <row r="3" spans="1:10" x14ac:dyDescent="0.3">
      <c r="B3">
        <f>SUM(cleaned_sales_data!I2:I31)</f>
        <v>734500</v>
      </c>
      <c r="D3">
        <f>COUNTA(cleaned_sales_data!A2:A31)</f>
        <v>30</v>
      </c>
      <c r="F3" t="s">
        <v>12</v>
      </c>
      <c r="G3">
        <f>SUMIF(cleaned_sales_data!E2:E31,F3,cleaned_sales_data!I2:I31)</f>
        <v>601500</v>
      </c>
      <c r="I3" t="s">
        <v>22</v>
      </c>
      <c r="J3">
        <f>SUMIF(cleaned_sales_data!H2:H31,I3,cleaned_sales_data!I2:I31)</f>
        <v>238500</v>
      </c>
    </row>
    <row r="4" spans="1:10" x14ac:dyDescent="0.3">
      <c r="F4" t="s">
        <v>30</v>
      </c>
      <c r="G4">
        <f>SUMIF(cleaned_sales_data!E2:E31,F4,cleaned_sales_data!I2:I31)</f>
        <v>99000</v>
      </c>
      <c r="I4" t="s">
        <v>13</v>
      </c>
      <c r="J4">
        <f>SUMIF(cleaned_sales_data!H2:H31,I4,cleaned_sales_data!I2:I31)</f>
        <v>202400</v>
      </c>
    </row>
    <row r="5" spans="1:10" x14ac:dyDescent="0.3">
      <c r="F5" t="s">
        <v>17</v>
      </c>
      <c r="G5">
        <f>SUMIF(cleaned_sales_data!E2:E31,F5,cleaned_sales_data!I2:I31)</f>
        <v>34000</v>
      </c>
      <c r="I5" t="s">
        <v>18</v>
      </c>
      <c r="J5">
        <f>SUMIF(cleaned_sales_data!H2:H31,I5,cleaned_sales_data!I2:I31)</f>
        <v>149400</v>
      </c>
    </row>
    <row r="6" spans="1:10" x14ac:dyDescent="0.3">
      <c r="I6" t="s">
        <v>26</v>
      </c>
      <c r="J6">
        <f>SUMIF(cleaned_sales_data!H2:H31,I6,cleaned_sales_data!I2:I31)</f>
        <v>144200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cleaned_sales_data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Pujari</dc:creator>
  <cp:lastModifiedBy>Sankalp Pujari</cp:lastModifiedBy>
  <dcterms:created xsi:type="dcterms:W3CDTF">2026-09-29T13:24:57Z</dcterms:created>
  <dcterms:modified xsi:type="dcterms:W3CDTF">2026-09-29T13:44:46Z</dcterms:modified>
</cp:coreProperties>
</file>